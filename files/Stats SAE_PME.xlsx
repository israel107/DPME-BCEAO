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ME_accompag" sheetId="1" r:id="rId4"/>
    <sheet state="visible" name="PME_Benef" sheetId="2" r:id="rId5"/>
    <sheet state="visible" name="Montant_accord" sheetId="3" r:id="rId6"/>
  </sheets>
  <definedNames/>
  <calcPr/>
</workbook>
</file>

<file path=xl/sharedStrings.xml><?xml version="1.0" encoding="utf-8"?>
<sst xmlns="http://schemas.openxmlformats.org/spreadsheetml/2006/main" count="54" uniqueCount="18">
  <si>
    <t>pays</t>
  </si>
  <si>
    <t>juin 2021</t>
  </si>
  <si>
    <t>déc 2021</t>
  </si>
  <si>
    <t>juin 2022</t>
  </si>
  <si>
    <t>déc 2022</t>
  </si>
  <si>
    <t>juin 2023</t>
  </si>
  <si>
    <t>déc 2023</t>
  </si>
  <si>
    <t>juin 2024</t>
  </si>
  <si>
    <t>déc 2024</t>
  </si>
  <si>
    <t>Bénin</t>
  </si>
  <si>
    <t>Burkina Faso</t>
  </si>
  <si>
    <t>Côte d Ivoire</t>
  </si>
  <si>
    <t>Guinée Bissau</t>
  </si>
  <si>
    <t>Mali</t>
  </si>
  <si>
    <t>Niger</t>
  </si>
  <si>
    <t>Sénégal</t>
  </si>
  <si>
    <t>Togo</t>
  </si>
  <si>
    <t>UEMOA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</si>
</sst>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quotePrefix="1" borderId="1" fillId="0" fontId="1" numFmtId="0" xfId="0" applyAlignment="1" applyBorder="1" applyFont="1">
      <alignment readingOrder="0"/>
    </xf>
    <xf borderId="1" fillId="0" fontId="1" numFmtId="3" xfId="0" applyAlignment="1" applyBorder="1" applyFont="1" applyNumberFormat="1">
      <alignment readingOrder="0"/>
    </xf>
    <xf borderId="1" fillId="0" fontId="1" numFmtId="0" xfId="0" applyBorder="1" applyFont="1"/>
    <xf borderId="0" fillId="0" fontId="1" numFmtId="0" xfId="0" applyAlignment="1" applyFont="1">
      <alignment readingOrder="0"/>
    </xf>
    <xf borderId="1" fillId="0" fontId="1" numFmtId="3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>
        <v>172.0</v>
      </c>
      <c r="C2" s="1">
        <v>178.0</v>
      </c>
      <c r="D2" s="1">
        <v>232.0</v>
      </c>
      <c r="E2" s="1">
        <v>320.0</v>
      </c>
      <c r="F2" s="1">
        <v>424.0</v>
      </c>
      <c r="G2" s="1">
        <v>473.0</v>
      </c>
      <c r="H2" s="1">
        <v>640.0</v>
      </c>
      <c r="I2" s="1">
        <v>689.0</v>
      </c>
    </row>
    <row r="3">
      <c r="A3" s="1" t="s">
        <v>10</v>
      </c>
      <c r="B3" s="1">
        <v>5.0</v>
      </c>
      <c r="C3" s="1">
        <v>21.0</v>
      </c>
      <c r="D3" s="1">
        <v>24.0</v>
      </c>
      <c r="E3" s="1">
        <v>37.0</v>
      </c>
      <c r="F3" s="1">
        <v>37.0</v>
      </c>
      <c r="G3" s="1">
        <v>82.0</v>
      </c>
      <c r="H3" s="1">
        <v>66.0</v>
      </c>
      <c r="I3" s="1">
        <v>111.0</v>
      </c>
    </row>
    <row r="4">
      <c r="A4" s="1" t="s">
        <v>11</v>
      </c>
      <c r="B4" s="1">
        <v>150.0</v>
      </c>
      <c r="C4" s="1">
        <v>208.0</v>
      </c>
      <c r="D4" s="1">
        <v>309.0</v>
      </c>
      <c r="E4" s="1">
        <v>362.0</v>
      </c>
      <c r="F4" s="1">
        <v>362.0</v>
      </c>
      <c r="G4" s="1">
        <v>436.0</v>
      </c>
      <c r="H4" s="1">
        <v>525.0</v>
      </c>
      <c r="I4" s="1">
        <v>599.0</v>
      </c>
    </row>
    <row r="5">
      <c r="A5" s="1" t="s">
        <v>12</v>
      </c>
      <c r="B5" s="1">
        <v>150.0</v>
      </c>
      <c r="C5" s="1">
        <v>150.0</v>
      </c>
      <c r="D5" s="1">
        <v>173.0</v>
      </c>
      <c r="E5" s="1">
        <v>207.0</v>
      </c>
      <c r="F5" s="1">
        <v>207.0</v>
      </c>
      <c r="G5" s="1">
        <v>207.0</v>
      </c>
      <c r="H5" s="1">
        <v>241.0</v>
      </c>
      <c r="I5" s="1">
        <v>241.0</v>
      </c>
    </row>
    <row r="6">
      <c r="A6" s="1" t="s">
        <v>13</v>
      </c>
      <c r="B6" s="1">
        <v>67.0</v>
      </c>
      <c r="C6" s="1">
        <v>424.0</v>
      </c>
      <c r="D6" s="1">
        <v>730.0</v>
      </c>
      <c r="E6" s="1">
        <v>1074.0</v>
      </c>
      <c r="F6" s="3">
        <v>1426.0</v>
      </c>
      <c r="G6" s="3">
        <v>1475.0</v>
      </c>
      <c r="H6" s="1">
        <v>1426.0</v>
      </c>
      <c r="I6" s="3">
        <v>1475.0</v>
      </c>
    </row>
    <row r="7">
      <c r="A7" s="1" t="s">
        <v>14</v>
      </c>
      <c r="B7" s="1">
        <v>422.0</v>
      </c>
      <c r="C7" s="1">
        <v>436.0</v>
      </c>
      <c r="D7" s="1">
        <v>450.0</v>
      </c>
      <c r="E7" s="1">
        <v>495.0</v>
      </c>
      <c r="F7" s="1">
        <v>527.0</v>
      </c>
      <c r="G7" s="1">
        <v>580.0</v>
      </c>
      <c r="H7" s="1">
        <v>527.0</v>
      </c>
      <c r="I7" s="1">
        <v>580.0</v>
      </c>
    </row>
    <row r="8">
      <c r="A8" s="1" t="s">
        <v>15</v>
      </c>
      <c r="B8" s="1">
        <v>102.0</v>
      </c>
      <c r="C8" s="1">
        <v>617.0</v>
      </c>
      <c r="D8" s="1">
        <v>1336.0</v>
      </c>
      <c r="E8" s="1">
        <v>1753.0</v>
      </c>
      <c r="F8" s="3">
        <v>2455.0</v>
      </c>
      <c r="G8" s="3">
        <v>2455.0</v>
      </c>
      <c r="H8" s="1">
        <v>4948.0</v>
      </c>
      <c r="I8" s="3">
        <v>4948.0</v>
      </c>
    </row>
    <row r="9">
      <c r="A9" s="1" t="s">
        <v>16</v>
      </c>
      <c r="B9" s="1">
        <v>169.0</v>
      </c>
      <c r="C9" s="1">
        <v>177.0</v>
      </c>
      <c r="D9" s="1">
        <v>185.0</v>
      </c>
      <c r="E9" s="1">
        <v>185.0</v>
      </c>
      <c r="F9" s="1">
        <v>185.0</v>
      </c>
      <c r="G9" s="1">
        <v>185.0</v>
      </c>
      <c r="H9" s="1">
        <v>189.0</v>
      </c>
      <c r="I9" s="1">
        <v>189.0</v>
      </c>
    </row>
    <row r="10">
      <c r="A10" s="1" t="s">
        <v>17</v>
      </c>
      <c r="B10" s="4">
        <f t="shared" ref="B10:I10" si="1">SUM(B2:B9)</f>
        <v>1237</v>
      </c>
      <c r="C10" s="4">
        <f t="shared" si="1"/>
        <v>2211</v>
      </c>
      <c r="D10" s="4">
        <f t="shared" si="1"/>
        <v>3439</v>
      </c>
      <c r="E10" s="4">
        <f t="shared" si="1"/>
        <v>4433</v>
      </c>
      <c r="F10" s="4">
        <f t="shared" si="1"/>
        <v>5623</v>
      </c>
      <c r="G10" s="4">
        <f t="shared" si="1"/>
        <v>5893</v>
      </c>
      <c r="H10" s="4">
        <f t="shared" si="1"/>
        <v>8562</v>
      </c>
      <c r="I10" s="4">
        <f t="shared" si="1"/>
        <v>8832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1">
        <v>34.0</v>
      </c>
      <c r="C2" s="1">
        <v>34.0</v>
      </c>
      <c r="D2" s="1">
        <v>60.0</v>
      </c>
      <c r="E2" s="1">
        <v>73.0</v>
      </c>
      <c r="F2" s="1">
        <v>121.0</v>
      </c>
      <c r="G2" s="1">
        <v>123.0</v>
      </c>
      <c r="H2" s="1">
        <v>134.0</v>
      </c>
      <c r="I2" s="1">
        <v>136.0</v>
      </c>
    </row>
    <row r="3">
      <c r="A3" s="1" t="s">
        <v>10</v>
      </c>
      <c r="B3" s="1">
        <v>5.0</v>
      </c>
      <c r="C3" s="1">
        <v>21.0</v>
      </c>
      <c r="D3" s="1">
        <v>24.0</v>
      </c>
      <c r="E3" s="1">
        <v>37.0</v>
      </c>
      <c r="F3" s="1">
        <v>37.0</v>
      </c>
      <c r="G3" s="1">
        <v>82.0</v>
      </c>
      <c r="H3" s="1">
        <v>59.0</v>
      </c>
      <c r="I3" s="1">
        <v>104.0</v>
      </c>
    </row>
    <row r="4">
      <c r="A4" s="1" t="s">
        <v>11</v>
      </c>
      <c r="B4" s="1">
        <v>10.0</v>
      </c>
      <c r="C4" s="1">
        <v>39.0</v>
      </c>
      <c r="D4" s="1">
        <v>74.0</v>
      </c>
      <c r="E4" s="1">
        <v>100.0</v>
      </c>
      <c r="F4" s="1">
        <v>100.0</v>
      </c>
      <c r="G4" s="1">
        <v>124.0</v>
      </c>
      <c r="H4" s="1">
        <v>228.0</v>
      </c>
      <c r="I4" s="1">
        <v>252.0</v>
      </c>
    </row>
    <row r="5">
      <c r="A5" s="1" t="s">
        <v>12</v>
      </c>
      <c r="B5" s="1">
        <v>5.0</v>
      </c>
      <c r="C5" s="1">
        <v>5.0</v>
      </c>
      <c r="D5" s="1">
        <v>8.0</v>
      </c>
      <c r="E5" s="1">
        <v>11.0</v>
      </c>
      <c r="F5" s="1">
        <v>11.0</v>
      </c>
      <c r="G5" s="1">
        <v>11.0</v>
      </c>
      <c r="H5" s="1">
        <v>12.0</v>
      </c>
      <c r="I5" s="1">
        <v>12.0</v>
      </c>
    </row>
    <row r="6">
      <c r="A6" s="1" t="s">
        <v>13</v>
      </c>
      <c r="B6" s="1">
        <v>3.0</v>
      </c>
      <c r="C6" s="1">
        <v>3.0</v>
      </c>
      <c r="D6" s="1">
        <v>84.0</v>
      </c>
      <c r="E6" s="1">
        <v>220.0</v>
      </c>
      <c r="F6" s="3">
        <v>368.0</v>
      </c>
      <c r="G6" s="3">
        <v>372.0</v>
      </c>
      <c r="H6" s="1">
        <v>368.0</v>
      </c>
      <c r="I6" s="3">
        <v>372.0</v>
      </c>
    </row>
    <row r="7">
      <c r="A7" s="1" t="s">
        <v>14</v>
      </c>
      <c r="B7" s="4"/>
      <c r="C7" s="1">
        <v>5.0</v>
      </c>
      <c r="D7" s="1">
        <v>10.0</v>
      </c>
      <c r="E7" s="1">
        <v>55.0</v>
      </c>
      <c r="F7" s="1">
        <v>87.0</v>
      </c>
      <c r="G7" s="1">
        <v>140.0</v>
      </c>
      <c r="H7" s="1">
        <v>87.0</v>
      </c>
      <c r="I7" s="1">
        <v>140.0</v>
      </c>
    </row>
    <row r="8">
      <c r="A8" s="1" t="s">
        <v>15</v>
      </c>
      <c r="B8" s="1">
        <v>4.0</v>
      </c>
      <c r="C8" s="1">
        <v>26.0</v>
      </c>
      <c r="D8" s="1">
        <v>187.0</v>
      </c>
      <c r="E8" s="1">
        <v>422.0</v>
      </c>
      <c r="F8" s="3">
        <v>498.0</v>
      </c>
      <c r="G8" s="3">
        <v>498.0</v>
      </c>
      <c r="H8" s="1">
        <v>2723.0</v>
      </c>
      <c r="I8" s="3">
        <v>2723.0</v>
      </c>
    </row>
    <row r="9">
      <c r="A9" s="1" t="s">
        <v>16</v>
      </c>
      <c r="B9" s="1">
        <v>7.0</v>
      </c>
      <c r="C9" s="1">
        <v>12.0</v>
      </c>
      <c r="D9" s="1">
        <v>16.0</v>
      </c>
      <c r="E9" s="1">
        <v>16.0</v>
      </c>
      <c r="F9" s="1">
        <v>16.0</v>
      </c>
      <c r="G9" s="1">
        <v>16.0</v>
      </c>
      <c r="H9" s="1">
        <v>18.0</v>
      </c>
      <c r="I9" s="1">
        <v>18.0</v>
      </c>
    </row>
    <row r="10">
      <c r="A10" s="1" t="s">
        <v>17</v>
      </c>
      <c r="B10" s="4">
        <f t="shared" ref="B10:I10" si="1">SUM(B2:B9)</f>
        <v>68</v>
      </c>
      <c r="C10" s="4">
        <f t="shared" si="1"/>
        <v>145</v>
      </c>
      <c r="D10" s="4">
        <f t="shared" si="1"/>
        <v>463</v>
      </c>
      <c r="E10" s="4">
        <f t="shared" si="1"/>
        <v>934</v>
      </c>
      <c r="F10" s="4">
        <f t="shared" si="1"/>
        <v>1238</v>
      </c>
      <c r="G10" s="4">
        <f t="shared" si="1"/>
        <v>1366</v>
      </c>
      <c r="H10" s="4">
        <f t="shared" si="1"/>
        <v>3629</v>
      </c>
      <c r="I10" s="4">
        <f t="shared" si="1"/>
        <v>3757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>
      <c r="A2" s="1" t="s">
        <v>9</v>
      </c>
      <c r="B2" s="3">
        <v>2.7E9</v>
      </c>
      <c r="C2" s="3">
        <v>2.7E9</v>
      </c>
      <c r="D2" s="3">
        <v>4.9300545E9</v>
      </c>
      <c r="E2" s="3">
        <v>7.118218604E9</v>
      </c>
      <c r="F2" s="3">
        <v>1.1896095689E10</v>
      </c>
      <c r="G2" s="3">
        <v>1.9346095689E10</v>
      </c>
      <c r="H2" s="3">
        <v>3.0030016444E10</v>
      </c>
      <c r="I2" s="3">
        <v>3.7480016444E10</v>
      </c>
    </row>
    <row r="3">
      <c r="A3" s="1" t="s">
        <v>10</v>
      </c>
      <c r="B3" s="3">
        <v>1.17E8</v>
      </c>
      <c r="C3" s="3">
        <v>8.46301674E8</v>
      </c>
      <c r="D3" s="3">
        <v>8.88301674E8</v>
      </c>
      <c r="E3" s="3">
        <v>1.008301674E9</v>
      </c>
      <c r="F3" s="3">
        <v>1.008301674E9</v>
      </c>
      <c r="G3" s="3">
        <v>4.153218743E9</v>
      </c>
      <c r="H3" s="3">
        <v>2.596337062E9</v>
      </c>
      <c r="I3" s="3">
        <v>5.741254131E9</v>
      </c>
    </row>
    <row r="4">
      <c r="A4" s="1" t="s">
        <v>11</v>
      </c>
      <c r="B4" s="3">
        <v>9.533E8</v>
      </c>
      <c r="C4" s="3">
        <v>2.144996918E9</v>
      </c>
      <c r="D4" s="3">
        <v>4.784296918E9</v>
      </c>
      <c r="E4" s="3">
        <v>7.964340918E9</v>
      </c>
      <c r="F4" s="3">
        <v>7.964340918E9</v>
      </c>
      <c r="G4" s="3">
        <v>2.2450150265E10</v>
      </c>
      <c r="H4" s="3">
        <v>3.1818885352E10</v>
      </c>
      <c r="I4" s="3">
        <v>4.6304694699E10</v>
      </c>
    </row>
    <row r="5">
      <c r="A5" s="1" t="s">
        <v>12</v>
      </c>
      <c r="B5" s="3">
        <v>6.56E8</v>
      </c>
      <c r="C5" s="3">
        <v>6.56E8</v>
      </c>
      <c r="D5" s="3">
        <v>9.66E8</v>
      </c>
      <c r="E5" s="3">
        <v>1.276E9</v>
      </c>
      <c r="F5" s="3">
        <v>1.276E9</v>
      </c>
      <c r="G5" s="3">
        <v>1.276E9</v>
      </c>
      <c r="H5" s="3">
        <v>1.301E9</v>
      </c>
      <c r="I5" s="3">
        <v>1.301E9</v>
      </c>
    </row>
    <row r="6">
      <c r="A6" s="1" t="s">
        <v>13</v>
      </c>
      <c r="B6" s="3">
        <v>1.342E8</v>
      </c>
      <c r="C6" s="3">
        <v>1.342E8</v>
      </c>
      <c r="D6" s="3">
        <v>2.27992953E9</v>
      </c>
      <c r="E6" s="3">
        <v>4.610728661E9</v>
      </c>
      <c r="F6" s="3">
        <v>7.120302032E9</v>
      </c>
      <c r="G6" s="3">
        <v>7.165586982E9</v>
      </c>
      <c r="H6" s="3">
        <v>7.120302032E9</v>
      </c>
      <c r="I6" s="3">
        <v>7.165586982E9</v>
      </c>
    </row>
    <row r="7">
      <c r="A7" s="1" t="s">
        <v>14</v>
      </c>
      <c r="B7" s="1">
        <v>0.0</v>
      </c>
      <c r="C7" s="3">
        <v>2.0507827E7</v>
      </c>
      <c r="D7" s="3">
        <v>3.0823004E7</v>
      </c>
      <c r="E7" s="3">
        <v>2.186927359E9</v>
      </c>
      <c r="F7" s="3">
        <v>3.344873343E9</v>
      </c>
      <c r="G7" s="3">
        <v>3.991272519E9</v>
      </c>
      <c r="H7" s="3">
        <v>3.344873343E9</v>
      </c>
      <c r="I7" s="3">
        <v>3.991272519E9</v>
      </c>
    </row>
    <row r="8">
      <c r="A8" s="1" t="s">
        <v>15</v>
      </c>
      <c r="B8" s="3">
        <v>1.004E9</v>
      </c>
      <c r="C8" s="3">
        <v>1.498766E9</v>
      </c>
      <c r="D8" s="3">
        <v>2.409598E9</v>
      </c>
      <c r="E8" s="3">
        <v>4.375308095E9</v>
      </c>
      <c r="F8" s="3">
        <v>7.035151691E9</v>
      </c>
      <c r="G8" s="3">
        <v>7.035151691E9</v>
      </c>
      <c r="H8" s="3">
        <v>1.1682111966E10</v>
      </c>
      <c r="I8" s="3">
        <v>1.1682111966E10</v>
      </c>
    </row>
    <row r="9">
      <c r="A9" s="1" t="s">
        <v>16</v>
      </c>
      <c r="B9" s="3">
        <v>7.768E8</v>
      </c>
      <c r="C9" s="3">
        <v>8.968E8</v>
      </c>
      <c r="D9" s="3">
        <v>1.0168E9</v>
      </c>
      <c r="E9" s="3">
        <v>1.0168E9</v>
      </c>
      <c r="F9" s="3">
        <v>1.0168E9</v>
      </c>
      <c r="G9" s="3">
        <v>1.0168E9</v>
      </c>
      <c r="H9" s="3">
        <v>1.060175E9</v>
      </c>
      <c r="I9" s="3">
        <v>1.060175E9</v>
      </c>
    </row>
    <row r="10">
      <c r="A10" s="5" t="s">
        <v>17</v>
      </c>
      <c r="B10" s="6">
        <f t="shared" ref="B10:I10" si="1">SUM(B2:B9)</f>
        <v>6341300000</v>
      </c>
      <c r="C10" s="6">
        <f t="shared" si="1"/>
        <v>8897572419</v>
      </c>
      <c r="D10" s="6">
        <f t="shared" si="1"/>
        <v>17305803626</v>
      </c>
      <c r="E10" s="6">
        <f t="shared" si="1"/>
        <v>29556625311</v>
      </c>
      <c r="F10" s="6">
        <f t="shared" si="1"/>
        <v>40661865347</v>
      </c>
      <c r="G10" s="6">
        <f t="shared" si="1"/>
        <v>66434275889</v>
      </c>
      <c r="H10" s="6">
        <f t="shared" si="1"/>
        <v>88953701199</v>
      </c>
      <c r="I10" s="6">
        <f t="shared" si="1"/>
        <v>114726111741</v>
      </c>
    </row>
  </sheetData>
  <drawing r:id="rId1"/>
</worksheet>
</file>